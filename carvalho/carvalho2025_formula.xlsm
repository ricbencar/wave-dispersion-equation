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eLivro"/>
  <bookViews>
    <workbookView xWindow="-105" yWindow="-105" windowWidth="23250" windowHeight="12570" tabRatio="822"/>
  </bookViews>
  <sheets>
    <sheet name="lwave" sheetId="1" r:id="rId1"/>
  </sheets>
  <functionGroups builtInGroupCount="18"/>
  <definedNames>
    <definedName name="solver_adj" localSheetId="0" hidden="1">lwave!$B$2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lwave!$D$2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0.5</definedName>
    <definedName name="solver_ver" localSheetId="0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5" i="1" s="1"/>
  <c r="D2" i="1" s="1"/>
  <c r="D8" i="1"/>
  <c r="D10" i="1"/>
  <c r="D9" i="1" l="1"/>
  <c r="D6" i="1" l="1"/>
  <c r="D3" i="1" s="1"/>
  <c r="D4" i="1" s="1"/>
</calcChain>
</file>

<file path=xl/sharedStrings.xml><?xml version="1.0" encoding="utf-8"?>
<sst xmlns="http://schemas.openxmlformats.org/spreadsheetml/2006/main" count="11" uniqueCount="11">
  <si>
    <t>T</t>
  </si>
  <si>
    <t>d</t>
  </si>
  <si>
    <r>
      <rPr>
        <b/>
        <sz val="18"/>
        <color theme="1"/>
        <rFont val="Symbol"/>
        <family val="1"/>
        <charset val="2"/>
      </rPr>
      <t>b</t>
    </r>
    <r>
      <rPr>
        <b/>
        <sz val="18"/>
        <color theme="1"/>
        <rFont val="Calibri"/>
        <family val="2"/>
        <scheme val="minor"/>
      </rPr>
      <t>=kd=2</t>
    </r>
    <r>
      <rPr>
        <b/>
        <sz val="18"/>
        <color theme="1"/>
        <rFont val="Symbol"/>
        <family val="1"/>
        <charset val="2"/>
      </rPr>
      <t>p</t>
    </r>
    <r>
      <rPr>
        <b/>
        <sz val="18"/>
        <color theme="1"/>
        <rFont val="Calibri"/>
        <family val="2"/>
        <scheme val="minor"/>
      </rPr>
      <t>d/L</t>
    </r>
  </si>
  <si>
    <r>
      <t>k=2</t>
    </r>
    <r>
      <rPr>
        <b/>
        <sz val="18"/>
        <color theme="1"/>
        <rFont val="Symbol"/>
        <family val="1"/>
        <charset val="2"/>
      </rPr>
      <t>p</t>
    </r>
    <r>
      <rPr>
        <b/>
        <sz val="18"/>
        <color theme="1"/>
        <rFont val="Calibri"/>
        <family val="2"/>
        <scheme val="minor"/>
      </rPr>
      <t>/L</t>
    </r>
  </si>
  <si>
    <r>
      <t>k</t>
    </r>
    <r>
      <rPr>
        <b/>
        <vertAlign val="subscript"/>
        <sz val="18"/>
        <color theme="1"/>
        <rFont val="Calibri"/>
        <family val="2"/>
        <scheme val="minor"/>
      </rPr>
      <t>0</t>
    </r>
    <r>
      <rPr>
        <b/>
        <sz val="18"/>
        <color theme="1"/>
        <rFont val="Calibri"/>
        <family val="2"/>
        <scheme val="minor"/>
      </rPr>
      <t>=2</t>
    </r>
    <r>
      <rPr>
        <b/>
        <sz val="18"/>
        <color theme="1"/>
        <rFont val="Symbol"/>
        <family val="1"/>
        <charset val="2"/>
      </rPr>
      <t>p</t>
    </r>
    <r>
      <rPr>
        <b/>
        <sz val="18"/>
        <color theme="1"/>
        <rFont val="Calibri"/>
        <family val="2"/>
        <scheme val="minor"/>
      </rPr>
      <t>/L</t>
    </r>
    <r>
      <rPr>
        <b/>
        <vertAlign val="subscript"/>
        <sz val="18"/>
        <color theme="1"/>
        <rFont val="Calibri"/>
        <family val="2"/>
        <scheme val="minor"/>
      </rPr>
      <t>0</t>
    </r>
  </si>
  <si>
    <r>
      <t>L</t>
    </r>
    <r>
      <rPr>
        <b/>
        <vertAlign val="subscript"/>
        <sz val="18"/>
        <color theme="1"/>
        <rFont val="Calibri"/>
        <family val="2"/>
        <scheme val="minor"/>
      </rPr>
      <t>0</t>
    </r>
  </si>
  <si>
    <r>
      <rPr>
        <b/>
        <sz val="18"/>
        <color theme="1"/>
        <rFont val="Symbol"/>
        <family val="1"/>
        <charset val="2"/>
      </rPr>
      <t>a</t>
    </r>
    <r>
      <rPr>
        <b/>
        <sz val="18"/>
        <color theme="1"/>
        <rFont val="Calibri"/>
        <family val="2"/>
        <scheme val="minor"/>
      </rPr>
      <t>=k</t>
    </r>
    <r>
      <rPr>
        <b/>
        <vertAlign val="subscript"/>
        <sz val="18"/>
        <color theme="1"/>
        <rFont val="Calibri"/>
        <family val="2"/>
        <scheme val="minor"/>
      </rPr>
      <t>0</t>
    </r>
    <r>
      <rPr>
        <b/>
        <sz val="18"/>
        <color theme="1"/>
        <rFont val="Calibri"/>
        <family val="2"/>
        <scheme val="minor"/>
      </rPr>
      <t>d=2</t>
    </r>
    <r>
      <rPr>
        <b/>
        <sz val="18"/>
        <color theme="1"/>
        <rFont val="Symbol"/>
        <family val="1"/>
        <charset val="2"/>
      </rPr>
      <t>p</t>
    </r>
    <r>
      <rPr>
        <b/>
        <sz val="18"/>
        <color theme="1"/>
        <rFont val="Calibri"/>
        <family val="2"/>
        <scheme val="minor"/>
      </rPr>
      <t>d/L</t>
    </r>
    <r>
      <rPr>
        <b/>
        <vertAlign val="subscript"/>
        <sz val="18"/>
        <color theme="1"/>
        <rFont val="Calibri"/>
        <family val="2"/>
        <scheme val="minor"/>
      </rPr>
      <t>0</t>
    </r>
  </si>
  <si>
    <r>
      <t>L/L</t>
    </r>
    <r>
      <rPr>
        <b/>
        <vertAlign val="subscript"/>
        <sz val="18"/>
        <color theme="1"/>
        <rFont val="Calibri"/>
        <family val="2"/>
        <scheme val="minor"/>
      </rPr>
      <t>0</t>
    </r>
    <r>
      <rPr>
        <b/>
        <sz val="18"/>
        <color theme="1"/>
        <rFont val="Calibri"/>
        <family val="2"/>
        <scheme val="minor"/>
      </rPr>
      <t>-tanh(kd)</t>
    </r>
  </si>
  <si>
    <r>
      <t>L</t>
    </r>
    <r>
      <rPr>
        <b/>
        <vertAlign val="subscript"/>
        <sz val="18"/>
        <color theme="1"/>
        <rFont val="Calibri"/>
        <family val="2"/>
        <scheme val="minor"/>
      </rPr>
      <t>numeric</t>
    </r>
  </si>
  <si>
    <r>
      <t>L</t>
    </r>
    <r>
      <rPr>
        <b/>
        <vertAlign val="subscript"/>
        <sz val="18"/>
        <color theme="1"/>
        <rFont val="Calibri"/>
        <family val="2"/>
        <scheme val="minor"/>
      </rPr>
      <t>carv</t>
    </r>
  </si>
  <si>
    <r>
      <t>L</t>
    </r>
    <r>
      <rPr>
        <b/>
        <vertAlign val="subscript"/>
        <sz val="18"/>
        <color theme="1"/>
        <rFont val="Calibri"/>
        <family val="2"/>
        <scheme val="minor"/>
      </rPr>
      <t>VBA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</si>
</sst>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0"/>
    <numFmt numFmtId="166" formatCode="0.000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Symbol"/>
      <family val="1"/>
      <charset val="2"/>
    </font>
    <font>
      <b/>
      <vertAlign val="subscript"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164" fontId="1" fillId="0" borderId="0" xfId="0" applyNumberFormat="1" applyFont="1" applyAlignment="1">
      <alignment horizontal="left"/>
    </xf>
    <xf numFmtId="0" fontId="2" fillId="0" borderId="1" xfId="0" applyFont="1" applyBorder="1" applyAlignment="1">
      <alignment horizontal="right"/>
    </xf>
    <xf numFmtId="165" fontId="1" fillId="0" borderId="1" xfId="0" applyNumberFormat="1" applyFont="1" applyBorder="1" applyAlignment="1">
      <alignment horizontal="left"/>
    </xf>
    <xf numFmtId="2" fontId="1" fillId="0" borderId="1" xfId="0" applyNumberFormat="1" applyFont="1" applyBorder="1" applyAlignment="1">
      <alignment horizontal="left"/>
    </xf>
    <xf numFmtId="166" fontId="1" fillId="0" borderId="1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>
    <pageSetUpPr fitToPage="1"/>
  </sheetPr>
  <dimension ref="A2:D10"/>
  <sheetViews>
    <sheetView showGridLines="0" tabSelected="1" workbookViewId="0"/>
  </sheetViews>
  <sheetFormatPr defaultColWidth="9.140625" defaultRowHeight="23.25" x14ac:dyDescent="0.35"/>
  <cols>
    <col min="1" max="1" width="4.7109375" style="1" customWidth="1"/>
    <col min="2" max="2" width="18.42578125" style="1" customWidth="1"/>
    <col min="3" max="3" width="26.5703125" style="1" customWidth="1"/>
    <col min="4" max="4" width="22" style="1" customWidth="1"/>
    <col min="5" max="16384" width="9.140625" style="1"/>
  </cols>
  <sheetData>
    <row r="2" spans="1:4" ht="26.25" x14ac:dyDescent="0.45">
      <c r="A2" s="2" t="s">
        <v>0</v>
      </c>
      <c r="B2" s="3">
        <v>9</v>
      </c>
      <c r="C2" s="4" t="s">
        <v>6</v>
      </c>
      <c r="D2" s="5">
        <f>D5*B3</f>
        <v>0.24849865736960824</v>
      </c>
    </row>
    <row r="3" spans="1:4" x14ac:dyDescent="0.35">
      <c r="A3" s="2" t="s">
        <v>1</v>
      </c>
      <c r="B3" s="3">
        <v>5</v>
      </c>
      <c r="C3" s="4" t="s">
        <v>2</v>
      </c>
      <c r="D3" s="5">
        <f>D6*B3</f>
        <v>0.52013689673849017</v>
      </c>
    </row>
    <row r="4" spans="1:4" ht="26.25" x14ac:dyDescent="0.45">
      <c r="C4" s="4" t="s">
        <v>7</v>
      </c>
      <c r="D4" s="5">
        <f>D9/D7-TANH(D3)</f>
        <v>-4.9404653799656195E-5</v>
      </c>
    </row>
    <row r="5" spans="1:4" ht="26.25" x14ac:dyDescent="0.45">
      <c r="C5" s="4" t="s">
        <v>4</v>
      </c>
      <c r="D5" s="5">
        <f>2*PI()/D7</f>
        <v>4.9699731473921649E-2</v>
      </c>
    </row>
    <row r="6" spans="1:4" x14ac:dyDescent="0.35">
      <c r="C6" s="4" t="s">
        <v>3</v>
      </c>
      <c r="D6" s="5">
        <f>2*PI()/D9</f>
        <v>0.10402737934769804</v>
      </c>
    </row>
    <row r="7" spans="1:4" ht="26.25" x14ac:dyDescent="0.45">
      <c r="C7" s="4" t="s">
        <v>5</v>
      </c>
      <c r="D7" s="6">
        <f>9.80665*B2^2/2/PI()</f>
        <v>126.42292263644296</v>
      </c>
    </row>
    <row r="8" spans="1:4" ht="26.25" x14ac:dyDescent="0.45">
      <c r="C8" s="4" t="s">
        <v>8</v>
      </c>
      <c r="D8" s="7">
        <f>L_linear(B2,B3,0)</f>
        <v>60.402736703786658</v>
      </c>
    </row>
    <row r="9" spans="1:4" ht="26.25" x14ac:dyDescent="0.45">
      <c r="C9" s="4" t="s">
        <v>9</v>
      </c>
      <c r="D9" s="7">
        <f>D7*TANH(1.199315^(D2^1.047086)*D2^0.499947)</f>
        <v>60.399342428677869</v>
      </c>
    </row>
    <row r="10" spans="1:4" ht="26.25" x14ac:dyDescent="0.45">
      <c r="C10" s="4" t="s">
        <v>10</v>
      </c>
      <c r="D10" s="7">
        <f>LWAVE(B2,B3)</f>
        <v>60.399342428677876</v>
      </c>
    </row>
  </sheetData>
  <printOptions horizontalCentered="1"/>
  <pageMargins left="0.78740157480314965" right="0.78740157480314965" top="0.78740157480314965" bottom="0.78740157480314965" header="0.31496062992125984" footer="0.31496062992125984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lwave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2026-10-09T19:22:35Z</dcterms:created>
  <dcterms:modified xsi:type="dcterms:W3CDTF">2026-10-10T13:44:18Z</dcterms:modified>
</cp:coreProperties>
</file>